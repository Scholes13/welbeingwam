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10c25a98ed39656/HR-03/Meida Indra L/1. Werkudara Group/1. Human Resources/2026/2026. Wellbeing/"/>
    </mc:Choice>
  </mc:AlternateContent>
  <xr:revisionPtr revIDLastSave="410" documentId="8_{ED5751B8-504E-48CB-8D65-B17BFE9DD086}" xr6:coauthVersionLast="47" xr6:coauthVersionMax="47" xr10:uidLastSave="{9A6885EC-95BB-4F27-ABC5-0BA43F934669}"/>
  <bookViews>
    <workbookView xWindow="-110" yWindow="-110" windowWidth="19420" windowHeight="11500" xr2:uid="{CFCF8BD0-DA69-4D55-AE32-7468D0643E2E}"/>
  </bookViews>
  <sheets>
    <sheet name="Wellbeing Point" sheetId="1" r:id="rId1"/>
    <sheet name="Wellbeing Activity Planning" sheetId="2" r:id="rId2"/>
  </sheets>
  <definedNames>
    <definedName name="_xlnm._FilterDatabase" localSheetId="0" hidden="1">'Wellbeing Point'!$A$4:$L$17</definedName>
    <definedName name="_xlnm.Print_Area" localSheetId="1">'Wellbeing Activity Planning'!$A$2:$M$7</definedName>
    <definedName name="_xlnm.Print_Area" localSheetId="0">'Wellbeing Point'!$A$1:$K$24</definedName>
    <definedName name="_xlnm.Print_Titles" localSheetId="1">'Wellbeing Activity Planning'!$A:$A</definedName>
    <definedName name="_xlnm.Print_Titles" localSheetId="0">'Wellbeing Point'!$1:$4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2" i="1" l="1"/>
  <c r="H12" i="1"/>
  <c r="I14" i="1" l="1"/>
  <c r="H14" i="1"/>
  <c r="J14" i="1" s="1"/>
  <c r="I11" i="1"/>
  <c r="I13" i="1"/>
  <c r="I17" i="1"/>
  <c r="I16" i="1"/>
  <c r="H16" i="1"/>
  <c r="J16" i="1" s="1"/>
  <c r="I10" i="1"/>
  <c r="H10" i="1"/>
  <c r="J10" i="1" s="1"/>
  <c r="H7" i="1"/>
  <c r="J7" i="1" s="1"/>
  <c r="I15" i="1"/>
  <c r="I12" i="1"/>
  <c r="H6" i="1"/>
  <c r="J6" i="1" s="1"/>
  <c r="H5" i="1"/>
  <c r="J5" i="1" s="1"/>
  <c r="I9" i="1"/>
  <c r="I8" i="1"/>
  <c r="I7" i="1"/>
  <c r="I6" i="1"/>
  <c r="I5" i="1"/>
</calcChain>
</file>

<file path=xl/sharedStrings.xml><?xml version="1.0" encoding="utf-8"?>
<sst xmlns="http://schemas.openxmlformats.org/spreadsheetml/2006/main" count="148" uniqueCount="83">
  <si>
    <t>NO</t>
  </si>
  <si>
    <t>SIFAT</t>
  </si>
  <si>
    <t>SUPPORT BY</t>
  </si>
  <si>
    <t>POIN</t>
  </si>
  <si>
    <t>KATEGORI</t>
  </si>
  <si>
    <t>WERKUDARA WORKOUT FITNESS</t>
  </si>
  <si>
    <t>YOGA</t>
  </si>
  <si>
    <t>BADMINTON</t>
  </si>
  <si>
    <t>WAJIB</t>
  </si>
  <si>
    <t>TIDAK WAJIB</t>
  </si>
  <si>
    <t>OLAHRAGA YANG DILAKUKAN SENDIRI</t>
  </si>
  <si>
    <t>WERKUDARA</t>
  </si>
  <si>
    <t>PERSONAL</t>
  </si>
  <si>
    <t>MENYELESAIKAN KEGIATAN</t>
  </si>
  <si>
    <t>KEHADIRAN KEGIATAN</t>
  </si>
  <si>
    <t>TOTAL MENYELESAIKAN SEMUANYA</t>
  </si>
  <si>
    <t>TIDAK MENYELESAIKAN SEMUANYA</t>
  </si>
  <si>
    <t>MOUNTAINEERING/HIKING</t>
  </si>
  <si>
    <t>JENIS WELLBEING</t>
  </si>
  <si>
    <t>PHYSICAL WELLBEING</t>
  </si>
  <si>
    <t>EMOTIONAL WELLBEING</t>
  </si>
  <si>
    <t>SOCIAL WELLBEING</t>
  </si>
  <si>
    <t>FINANCIAL WELLBEING</t>
  </si>
  <si>
    <t>SPIRITUAL WELLBEING</t>
  </si>
  <si>
    <t>TREADMILL</t>
  </si>
  <si>
    <t>- KARYAWAN YANG MENGIKUTI ATAS DASAR KEMAUAN SENDIRI
- TERDAPAT FOTO DOKUMENTASI DAN TANGGAL PELAKSANAAN</t>
  </si>
  <si>
    <t>- KARYAWAN YANG MENGIKUTI ATAS DASAR KEMAUAN SENDIRI
- KARYAWAN YANG MENGIKUTI SESUAI DENGAN JADWAL OLAHRAGA
- DURASI KEGIATAN 50 MENIT - 1 JAM
- TERDAPAT FOTO DOKUMENTASI DAN TANGGAL PELAKSANAAN</t>
  </si>
  <si>
    <t>- KARYAWAN YANG MENGIKUTI ATAS DASAR KEMAUAN SENDIRI
- KARYAWAN YANG MENGIKUTI SESUAI DENGAN JADWAL OLAHRAGA
- DURASI KEGIATAN 45 MENIT - 1 JAM
- TERDAPAT FOTO DOKUMENTASI DAN TANGGAL PELAKSANAAN</t>
  </si>
  <si>
    <t>- KARYAWAN YANG MENGIKUTI ATAS DASAR KEMAUAN SENDIRI
- TERDAPAT FOTO DOKUMENTASI DAN TANGGAL PELAKSANAAN
- DURASI KEGIATAN 1-3 JAM</t>
  </si>
  <si>
    <t>POIN UNTUK KEGIATAN WELLBEING</t>
  </si>
  <si>
    <t>RANGE UNTUK TREADMILL
20 MENIT - 75 POINT
30 MENIT - 125 POINT
45 MENIT - 150 POINT
60 MENIT - 200 POINT</t>
  </si>
  <si>
    <t>JENIS KEGIATAN</t>
  </si>
  <si>
    <t>20 MENIT</t>
  </si>
  <si>
    <t>30 MENIT</t>
  </si>
  <si>
    <t>45 MENIT</t>
  </si>
  <si>
    <t>60 MENIT</t>
  </si>
  <si>
    <t>- KARYAWAN YANG MENGIKUTI ATAS DASAR KEMAUAN SENDIRI
- MINIMAL KEGIATAN -&gt; TREADMILL MINIMAL SELAMA 20 MENIT
- TERDAPAT FOTO DOKUMENTASI DAN TANGGAL PELAKSANAAN</t>
  </si>
  <si>
    <t>TOTAL TIDAK MENYELESAIKAN SEMUA</t>
  </si>
  <si>
    <t>KONSULTASI/KONSELING/SHARING SESSION/ SEMINAR MENGENAI MENTAL HEALTH</t>
  </si>
  <si>
    <t>PENYALURAN HOBI/MINAT DENGAN AKTIVITAS SOSIAL</t>
  </si>
  <si>
    <t>TEAM BUILDING/GATHERING/WAM/MID-YEAR RECHARGE/INTERNAL ACTIVITIES</t>
  </si>
  <si>
    <t>KEGIATAN SOSIAL DI AREA LUAR KANTOR (MELAKUKAN CSR, BAKTI SOSIAL, ARISAN DSB)</t>
  </si>
  <si>
    <t>CSR</t>
  </si>
  <si>
    <t>PROGRAM TABUNGAN ATAU BENEFIT FINANCIAL</t>
  </si>
  <si>
    <t>SEMINAR DAN EDUKASI MENGENAI PENGELOLAAN KEUANGAN DAN INVESTASI</t>
  </si>
  <si>
    <r>
      <t xml:space="preserve">IBADAH TIDAK WAJIB. 
</t>
    </r>
    <r>
      <rPr>
        <b/>
        <i/>
        <sz val="11"/>
        <color theme="1"/>
        <rFont val="Aptos Narrow"/>
        <family val="2"/>
        <scheme val="minor"/>
      </rPr>
      <t xml:space="preserve">YANG TIDAK TERHITUNG: 
</t>
    </r>
    <r>
      <rPr>
        <sz val="11"/>
        <color theme="1"/>
        <rFont val="Aptos Narrow"/>
        <family val="2"/>
        <scheme val="minor"/>
      </rPr>
      <t>- MUSLIM (SHOLAT 5 WAKTU, SHOLAT JUMAT DAN PUASA RAMADHAN)
- KRISTEN/KATHOLIK (IBADAH SABTU/MINGGU, NATAL, PASKAH)
- HINDU (PURNAMA, TILEM, GALUNGAN, NYEPI)</t>
    </r>
  </si>
  <si>
    <t>- KARYAWAN YANG MENGIKUTI ATAS DASAR KEMAUAN SENDIRI
- TERDAPAT FOTO DOKUMENTASI DAN TANGGAL PELAKSANAAN
- PEMBUATAN JURNALING MENGENAI KEGIATAN YANG DILAKSANAKAN</t>
  </si>
  <si>
    <t>JANUARI</t>
  </si>
  <si>
    <t>FEBRUARI</t>
  </si>
  <si>
    <t>MARET</t>
  </si>
  <si>
    <t>APRIL</t>
  </si>
  <si>
    <t>MEI</t>
  </si>
  <si>
    <t>JUNI</t>
  </si>
  <si>
    <t>JULI</t>
  </si>
  <si>
    <t xml:space="preserve">AGUSTUS </t>
  </si>
  <si>
    <t>SEPTEMBER</t>
  </si>
  <si>
    <t>OKTOBER</t>
  </si>
  <si>
    <t>NOVEMBER</t>
  </si>
  <si>
    <t>DESEMBER</t>
  </si>
  <si>
    <t>WWF (2X / WEEK)
YOGA (1X WEEK)
BADMINTON (1X WEEK)
STRETCHING (EVERY DAY)</t>
  </si>
  <si>
    <t>SHARING SESSION ABOUT MENTAL HEALTH</t>
  </si>
  <si>
    <t>SEMINAR/EDUKASI UNTUK KEUANGAN</t>
  </si>
  <si>
    <t>KULTUM &amp; TADARUS</t>
  </si>
  <si>
    <t>WAM
EMPLOYEE BUDDY</t>
  </si>
  <si>
    <t>NYADRAN
EMPLOYEE BUDDY</t>
  </si>
  <si>
    <t>CSR
LUNAR &amp; NEW YEAR
HALAL BI HALAL
EMPLOYEE BUDDY</t>
  </si>
  <si>
    <t>EMPLOYEE BUDDY</t>
  </si>
  <si>
    <t>MID-YEAR ACTIVITY
EMPLOYEE BUDDY</t>
  </si>
  <si>
    <t>INDONESIA INDEPENDENCE DAY
EMPLOYEE BUDDY</t>
  </si>
  <si>
    <t>CSR
YEAR-END DINNER
CHRISTMAS TREE LIGHTING
EMPLOYEE BUDDY</t>
  </si>
  <si>
    <t>1-ON-1 PERSONALITIES COACHING</t>
  </si>
  <si>
    <t>WERKUDARA ANNIVERSARY (DOA BERSAMA)</t>
  </si>
  <si>
    <t>PROGRAM</t>
  </si>
  <si>
    <t>WWF (2X / WEEK)
YOGA (1X WEEK)
BADMINTON (1X WEEK)
STRETCHING (EVERY DAY)
MOUNTAINEERING</t>
  </si>
  <si>
    <t>- KARYAWAN YANG MENGIKUTI ATAS DASAR KEMAUAN SENDIRI
- TERDAPAT FOTO DOKUMENTASI DAN TANGGAL PELAKSANAAN
- PEMBUATAN SUMMARY MENGENAI KEGIATAN YANG DILAKSANAKAN</t>
  </si>
  <si>
    <t>WAJIB/ TIDAK WAJIB</t>
  </si>
  <si>
    <t>- KARYAWAN YANG MENGIKUTI ATAS DASAR KEMAUAN SENDIRI
- TERDAPAT FOTO DOKUMENTASI DAN TANGGAL PELAKSANAAN
- MENGISI DESKRIPSI KEGIATAN KEIGATAN</t>
  </si>
  <si>
    <t>- DATA CHECK IN APLIKASI</t>
  </si>
  <si>
    <t>- KARYAWAN YANG MENGIKUTI ATAS DASAR KEMAUAN SENDIRI
- TERDAPAT FOTO DOKUMENTASI KEHADIRAN DAN TANGGAL PELAKSANAAN (KECUALI ARISAN YANG TIDAK ADA KEGIATAN/SETOR UANG)
- MENGISI DESKRIPSI KEGIATAN KEIGATAN</t>
  </si>
  <si>
    <t>EMOTIONAL</t>
  </si>
  <si>
    <t>CSR (IDUL ADHA)
EMPLOYEE BUDDY (SILVI DAN AYUB)</t>
  </si>
  <si>
    <t>1-ON-1 COACHING DALAM RANGKA PERFOMANCE APPRAISAL DENGAN ATASAN</t>
  </si>
  <si>
    <t>MENGAGUMI CIPTAAN TUHAN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</si>
</sst>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quotePrefix="1" applyBorder="1" applyAlignment="1">
      <alignment vertical="center" wrapTex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1" fillId="0" borderId="0" xfId="0" applyFont="1"/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/>
    </xf>
    <xf numFmtId="0" fontId="0" fillId="2" borderId="1" xfId="0" quotePrefix="1" applyFill="1" applyBorder="1" applyAlignment="1">
      <alignment vertical="center" wrapText="1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0" fontId="0" fillId="6" borderId="1" xfId="0" quotePrefix="1" applyFill="1" applyBorder="1" applyAlignment="1">
      <alignment vertical="center" wrapText="1"/>
    </xf>
    <xf numFmtId="0" fontId="0" fillId="6" borderId="0" xfId="0" applyFill="1" applyAlignment="1">
      <alignment vertical="center"/>
    </xf>
    <xf numFmtId="0" fontId="0" fillId="6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quotePrefix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C5396-1B86-4509-876D-3D2E6C910A36}">
  <dimension ref="A1:M22"/>
  <sheetViews>
    <sheetView tabSelected="1" view="pageBreakPreview" topLeftCell="A13" zoomScale="77" zoomScaleNormal="90" zoomScaleSheetLayoutView="70" workbookViewId="0">
      <selection activeCell="G16" sqref="G16"/>
    </sheetView>
  </sheetViews>
  <sheetFormatPr defaultRowHeight="14.5" x14ac:dyDescent="0.35"/>
  <cols>
    <col min="1" max="1" width="3.54296875" style="8" bestFit="1" customWidth="1"/>
    <col min="2" max="2" width="21" style="7" bestFit="1" customWidth="1"/>
    <col min="3" max="3" width="28.08984375" style="10" customWidth="1"/>
    <col min="4" max="4" width="16.26953125" style="7" customWidth="1"/>
    <col min="5" max="5" width="16.453125" style="7" customWidth="1"/>
    <col min="6" max="6" width="14.26953125" style="8" customWidth="1"/>
    <col min="7" max="7" width="14.81640625" style="8" bestFit="1" customWidth="1"/>
    <col min="8" max="8" width="17.08984375" style="8" customWidth="1"/>
    <col min="9" max="9" width="18.7265625" style="8" customWidth="1"/>
    <col min="10" max="10" width="15.36328125" style="7" customWidth="1"/>
    <col min="11" max="11" width="56.81640625" style="7" bestFit="1" customWidth="1"/>
    <col min="12" max="12" width="26.08984375" style="7" customWidth="1"/>
    <col min="13" max="16384" width="8.7265625" style="7"/>
  </cols>
  <sheetData>
    <row r="1" spans="1:13" ht="31" x14ac:dyDescent="0.35">
      <c r="A1" s="6" t="s">
        <v>29</v>
      </c>
    </row>
    <row r="3" spans="1:13" s="1" customFormat="1" ht="14.5" customHeight="1" x14ac:dyDescent="0.35">
      <c r="A3" s="34" t="s">
        <v>0</v>
      </c>
      <c r="B3" s="34" t="s">
        <v>18</v>
      </c>
      <c r="C3" s="38" t="s">
        <v>31</v>
      </c>
      <c r="D3" s="34" t="s">
        <v>1</v>
      </c>
      <c r="E3" s="34" t="s">
        <v>2</v>
      </c>
      <c r="F3" s="30" t="s">
        <v>3</v>
      </c>
      <c r="G3" s="31"/>
      <c r="H3" s="32"/>
      <c r="I3" s="36" t="s">
        <v>15</v>
      </c>
      <c r="J3" s="40" t="s">
        <v>37</v>
      </c>
      <c r="K3" s="34" t="s">
        <v>4</v>
      </c>
    </row>
    <row r="4" spans="1:13" s="1" customFormat="1" ht="43.5" x14ac:dyDescent="0.35">
      <c r="A4" s="35"/>
      <c r="B4" s="35"/>
      <c r="C4" s="39"/>
      <c r="D4" s="35"/>
      <c r="E4" s="35"/>
      <c r="F4" s="2" t="s">
        <v>14</v>
      </c>
      <c r="G4" s="2" t="s">
        <v>13</v>
      </c>
      <c r="H4" s="2" t="s">
        <v>16</v>
      </c>
      <c r="I4" s="37"/>
      <c r="J4" s="41"/>
      <c r="K4" s="35"/>
    </row>
    <row r="5" spans="1:13" ht="58" customHeight="1" x14ac:dyDescent="0.35">
      <c r="A5" s="19">
        <v>1</v>
      </c>
      <c r="B5" s="20" t="s">
        <v>19</v>
      </c>
      <c r="C5" s="42" t="s">
        <v>5</v>
      </c>
      <c r="D5" s="20" t="s">
        <v>8</v>
      </c>
      <c r="E5" s="20" t="s">
        <v>11</v>
      </c>
      <c r="F5" s="19">
        <v>50</v>
      </c>
      <c r="G5" s="19">
        <v>150</v>
      </c>
      <c r="H5" s="19">
        <f>G5/2</f>
        <v>75</v>
      </c>
      <c r="I5" s="19">
        <f t="shared" ref="I5:I9" si="0">SUM(F5:G5)</f>
        <v>200</v>
      </c>
      <c r="J5" s="19">
        <f>F5+H5</f>
        <v>125</v>
      </c>
      <c r="K5" s="21" t="s">
        <v>26</v>
      </c>
    </row>
    <row r="6" spans="1:13" ht="58" customHeight="1" x14ac:dyDescent="0.35">
      <c r="A6" s="19">
        <v>2</v>
      </c>
      <c r="B6" s="20" t="s">
        <v>19</v>
      </c>
      <c r="C6" s="42" t="s">
        <v>6</v>
      </c>
      <c r="D6" s="20" t="s">
        <v>8</v>
      </c>
      <c r="E6" s="20" t="s">
        <v>11</v>
      </c>
      <c r="F6" s="19">
        <v>50</v>
      </c>
      <c r="G6" s="19">
        <v>150</v>
      </c>
      <c r="H6" s="19">
        <f>G6/2</f>
        <v>75</v>
      </c>
      <c r="I6" s="19">
        <f t="shared" si="0"/>
        <v>200</v>
      </c>
      <c r="J6" s="19">
        <f>F6+H6</f>
        <v>125</v>
      </c>
      <c r="K6" s="21" t="s">
        <v>27</v>
      </c>
    </row>
    <row r="7" spans="1:13" s="22" customFormat="1" ht="58" customHeight="1" x14ac:dyDescent="0.35">
      <c r="A7" s="19">
        <v>3</v>
      </c>
      <c r="B7" s="20" t="s">
        <v>19</v>
      </c>
      <c r="C7" s="42" t="s">
        <v>7</v>
      </c>
      <c r="D7" s="20" t="s">
        <v>9</v>
      </c>
      <c r="E7" s="20" t="s">
        <v>11</v>
      </c>
      <c r="F7" s="19">
        <v>50</v>
      </c>
      <c r="G7" s="19">
        <v>150</v>
      </c>
      <c r="H7" s="19">
        <f>G7/2</f>
        <v>75</v>
      </c>
      <c r="I7" s="19">
        <f t="shared" si="0"/>
        <v>200</v>
      </c>
      <c r="J7" s="19">
        <f>F7+H7</f>
        <v>125</v>
      </c>
      <c r="K7" s="21" t="s">
        <v>28</v>
      </c>
    </row>
    <row r="8" spans="1:13" s="22" customFormat="1" ht="58" customHeight="1" x14ac:dyDescent="0.35">
      <c r="A8" s="19">
        <v>4</v>
      </c>
      <c r="B8" s="20" t="s">
        <v>19</v>
      </c>
      <c r="C8" s="42" t="s">
        <v>17</v>
      </c>
      <c r="D8" s="20" t="s">
        <v>9</v>
      </c>
      <c r="E8" s="20" t="s">
        <v>11</v>
      </c>
      <c r="F8" s="19"/>
      <c r="G8" s="19">
        <v>200</v>
      </c>
      <c r="H8" s="19"/>
      <c r="I8" s="19">
        <f t="shared" si="0"/>
        <v>200</v>
      </c>
      <c r="J8" s="19"/>
      <c r="K8" s="21" t="s">
        <v>25</v>
      </c>
    </row>
    <row r="9" spans="1:13" s="22" customFormat="1" ht="58" customHeight="1" x14ac:dyDescent="0.35">
      <c r="A9" s="19">
        <v>6</v>
      </c>
      <c r="B9" s="20" t="s">
        <v>19</v>
      </c>
      <c r="C9" s="42" t="s">
        <v>10</v>
      </c>
      <c r="D9" s="20" t="s">
        <v>9</v>
      </c>
      <c r="E9" s="20" t="s">
        <v>12</v>
      </c>
      <c r="F9" s="19"/>
      <c r="G9" s="19">
        <v>200</v>
      </c>
      <c r="H9" s="19"/>
      <c r="I9" s="19">
        <f t="shared" si="0"/>
        <v>200</v>
      </c>
      <c r="J9" s="19"/>
      <c r="K9" s="21" t="s">
        <v>25</v>
      </c>
    </row>
    <row r="10" spans="1:13" ht="58" customHeight="1" x14ac:dyDescent="0.35">
      <c r="A10" s="3">
        <v>7</v>
      </c>
      <c r="B10" s="17" t="s">
        <v>20</v>
      </c>
      <c r="C10" s="5" t="s">
        <v>38</v>
      </c>
      <c r="D10" s="4" t="s">
        <v>75</v>
      </c>
      <c r="E10" s="4" t="s">
        <v>11</v>
      </c>
      <c r="F10" s="3">
        <v>50</v>
      </c>
      <c r="G10" s="3">
        <v>150</v>
      </c>
      <c r="H10" s="3">
        <f>G10/2</f>
        <v>75</v>
      </c>
      <c r="I10" s="9">
        <f t="shared" ref="I10:I11" si="1">SUM(F10:G10)</f>
        <v>200</v>
      </c>
      <c r="J10" s="11">
        <f>F10+H10</f>
        <v>125</v>
      </c>
      <c r="K10" s="5" t="s">
        <v>25</v>
      </c>
    </row>
    <row r="11" spans="1:13" ht="58" customHeight="1" x14ac:dyDescent="0.35">
      <c r="A11" s="3">
        <v>8</v>
      </c>
      <c r="B11" s="17" t="s">
        <v>20</v>
      </c>
      <c r="C11" s="5" t="s">
        <v>39</v>
      </c>
      <c r="D11" s="4" t="s">
        <v>9</v>
      </c>
      <c r="E11" s="4" t="s">
        <v>12</v>
      </c>
      <c r="F11" s="3"/>
      <c r="G11" s="3">
        <v>200</v>
      </c>
      <c r="H11" s="3"/>
      <c r="I11" s="9">
        <f t="shared" si="1"/>
        <v>200</v>
      </c>
      <c r="J11" s="11"/>
      <c r="K11" s="5" t="s">
        <v>76</v>
      </c>
    </row>
    <row r="12" spans="1:13" ht="58" customHeight="1" x14ac:dyDescent="0.35">
      <c r="A12" s="3">
        <v>10</v>
      </c>
      <c r="B12" s="4" t="s">
        <v>21</v>
      </c>
      <c r="C12" s="18" t="s">
        <v>40</v>
      </c>
      <c r="D12" s="4" t="s">
        <v>8</v>
      </c>
      <c r="E12" s="4" t="s">
        <v>11</v>
      </c>
      <c r="F12" s="3">
        <v>50</v>
      </c>
      <c r="G12" s="3">
        <v>150</v>
      </c>
      <c r="H12" s="3">
        <f>G12/2</f>
        <v>75</v>
      </c>
      <c r="I12" s="9">
        <f>SUM(F12:G12)</f>
        <v>200</v>
      </c>
      <c r="J12" s="11">
        <f>F12+H12</f>
        <v>125</v>
      </c>
      <c r="K12" s="5" t="s">
        <v>77</v>
      </c>
    </row>
    <row r="13" spans="1:13" ht="72.5" x14ac:dyDescent="0.35">
      <c r="A13" s="3">
        <v>11</v>
      </c>
      <c r="B13" s="4" t="s">
        <v>21</v>
      </c>
      <c r="C13" s="5" t="s">
        <v>41</v>
      </c>
      <c r="D13" s="4" t="s">
        <v>9</v>
      </c>
      <c r="E13" s="4" t="s">
        <v>12</v>
      </c>
      <c r="F13" s="3"/>
      <c r="G13" s="3">
        <v>200</v>
      </c>
      <c r="H13" s="3"/>
      <c r="I13" s="9">
        <f>SUM(F13:G13)</f>
        <v>200</v>
      </c>
      <c r="J13" s="11"/>
      <c r="K13" s="5" t="s">
        <v>78</v>
      </c>
    </row>
    <row r="14" spans="1:13" ht="58" customHeight="1" x14ac:dyDescent="0.35">
      <c r="A14" s="3">
        <v>17</v>
      </c>
      <c r="B14" s="4" t="s">
        <v>21</v>
      </c>
      <c r="C14" s="5" t="s">
        <v>42</v>
      </c>
      <c r="D14" s="4" t="s">
        <v>8</v>
      </c>
      <c r="E14" s="4" t="s">
        <v>11</v>
      </c>
      <c r="F14" s="3">
        <v>50</v>
      </c>
      <c r="G14" s="3">
        <v>150</v>
      </c>
      <c r="H14" s="3">
        <f>G14/2</f>
        <v>75</v>
      </c>
      <c r="I14" s="9">
        <f t="shared" ref="I14" si="2">SUM(F14:G14)</f>
        <v>200</v>
      </c>
      <c r="J14" s="11">
        <f>F14+H14</f>
        <v>125</v>
      </c>
      <c r="K14" s="5" t="s">
        <v>25</v>
      </c>
    </row>
    <row r="15" spans="1:13" ht="58" customHeight="1" x14ac:dyDescent="0.35">
      <c r="A15" s="3">
        <v>13</v>
      </c>
      <c r="B15" s="4" t="s">
        <v>22</v>
      </c>
      <c r="C15" s="5" t="s">
        <v>43</v>
      </c>
      <c r="D15" s="4" t="s">
        <v>9</v>
      </c>
      <c r="E15" s="4" t="s">
        <v>12</v>
      </c>
      <c r="F15" s="3"/>
      <c r="G15" s="3">
        <v>200</v>
      </c>
      <c r="H15" s="3"/>
      <c r="I15" s="9">
        <f>SUM(F15:G15)</f>
        <v>200</v>
      </c>
      <c r="J15" s="11"/>
      <c r="K15" s="5" t="s">
        <v>25</v>
      </c>
    </row>
    <row r="16" spans="1:13" ht="58" customHeight="1" x14ac:dyDescent="0.35">
      <c r="A16" s="3">
        <v>14</v>
      </c>
      <c r="B16" s="4" t="s">
        <v>22</v>
      </c>
      <c r="C16" s="5" t="s">
        <v>44</v>
      </c>
      <c r="D16" s="4" t="s">
        <v>8</v>
      </c>
      <c r="E16" s="4" t="s">
        <v>11</v>
      </c>
      <c r="F16" s="3">
        <v>50</v>
      </c>
      <c r="G16" s="3">
        <v>150</v>
      </c>
      <c r="H16" s="3">
        <f>G16/2</f>
        <v>75</v>
      </c>
      <c r="I16" s="9">
        <f t="shared" ref="I16" si="3">SUM(F16:G16)</f>
        <v>200</v>
      </c>
      <c r="J16" s="11">
        <f>F16+H16</f>
        <v>125</v>
      </c>
      <c r="K16" s="5" t="s">
        <v>74</v>
      </c>
      <c r="M16" s="7" t="s">
        <v>79</v>
      </c>
    </row>
    <row r="17" spans="1:12" s="22" customFormat="1" ht="145" x14ac:dyDescent="0.35">
      <c r="A17" s="19">
        <v>18</v>
      </c>
      <c r="B17" s="20" t="s">
        <v>23</v>
      </c>
      <c r="C17" s="21" t="s">
        <v>45</v>
      </c>
      <c r="D17" s="20" t="s">
        <v>9</v>
      </c>
      <c r="E17" s="20" t="s">
        <v>12</v>
      </c>
      <c r="F17" s="19"/>
      <c r="G17" s="19">
        <v>200</v>
      </c>
      <c r="H17" s="19"/>
      <c r="I17" s="19">
        <f>SUM(F17:G17)</f>
        <v>200</v>
      </c>
      <c r="J17" s="19"/>
      <c r="K17" s="21" t="s">
        <v>46</v>
      </c>
    </row>
    <row r="20" spans="1:12" ht="14.5" customHeight="1" x14ac:dyDescent="0.35">
      <c r="A20" s="29" t="s">
        <v>0</v>
      </c>
      <c r="B20" s="29" t="s">
        <v>18</v>
      </c>
      <c r="C20" s="33" t="s">
        <v>31</v>
      </c>
      <c r="D20" s="29" t="s">
        <v>1</v>
      </c>
      <c r="E20" s="29" t="s">
        <v>2</v>
      </c>
      <c r="F20" s="30" t="s">
        <v>3</v>
      </c>
      <c r="G20" s="31"/>
      <c r="H20" s="31"/>
      <c r="I20" s="32"/>
      <c r="J20" s="29" t="s">
        <v>4</v>
      </c>
      <c r="K20" s="29"/>
    </row>
    <row r="21" spans="1:12" x14ac:dyDescent="0.35">
      <c r="A21" s="29"/>
      <c r="B21" s="29"/>
      <c r="C21" s="33"/>
      <c r="D21" s="29"/>
      <c r="E21" s="29"/>
      <c r="F21" s="2" t="s">
        <v>32</v>
      </c>
      <c r="G21" s="2" t="s">
        <v>33</v>
      </c>
      <c r="H21" s="2" t="s">
        <v>34</v>
      </c>
      <c r="I21" s="2" t="s">
        <v>35</v>
      </c>
      <c r="J21" s="29"/>
      <c r="K21" s="29"/>
    </row>
    <row r="22" spans="1:12" ht="72.5" customHeight="1" x14ac:dyDescent="0.35">
      <c r="A22" s="3">
        <v>5</v>
      </c>
      <c r="B22" s="4" t="s">
        <v>19</v>
      </c>
      <c r="C22" s="16" t="s">
        <v>24</v>
      </c>
      <c r="D22" s="4" t="s">
        <v>9</v>
      </c>
      <c r="E22" s="4" t="s">
        <v>11</v>
      </c>
      <c r="F22" s="3">
        <v>75</v>
      </c>
      <c r="G22" s="3">
        <v>125</v>
      </c>
      <c r="H22" s="3">
        <v>150</v>
      </c>
      <c r="I22" s="3">
        <v>200</v>
      </c>
      <c r="J22" s="28" t="s">
        <v>36</v>
      </c>
      <c r="K22" s="28"/>
      <c r="L22" s="10" t="s">
        <v>30</v>
      </c>
    </row>
  </sheetData>
  <autoFilter ref="A4:L17" xr:uid="{8BFC5396-1B86-4509-876D-3D2E6C910A36}"/>
  <mergeCells count="17">
    <mergeCell ref="A3:A4"/>
    <mergeCell ref="B3:B4"/>
    <mergeCell ref="K3:K4"/>
    <mergeCell ref="I3:I4"/>
    <mergeCell ref="E3:E4"/>
    <mergeCell ref="D3:D4"/>
    <mergeCell ref="C3:C4"/>
    <mergeCell ref="J3:J4"/>
    <mergeCell ref="F3:H3"/>
    <mergeCell ref="J22:K22"/>
    <mergeCell ref="J20:K21"/>
    <mergeCell ref="F20:I20"/>
    <mergeCell ref="A20:A21"/>
    <mergeCell ref="B20:B21"/>
    <mergeCell ref="C20:C21"/>
    <mergeCell ref="D20:D21"/>
    <mergeCell ref="E20:E21"/>
  </mergeCells>
  <pageMargins left="0.7" right="0.7" top="0.75" bottom="0.75" header="0.3" footer="0.3"/>
  <pageSetup scale="57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43656-6F71-4018-8625-5D2DA3682487}">
  <sheetPr>
    <pageSetUpPr fitToPage="1"/>
  </sheetPr>
  <dimension ref="A2:M7"/>
  <sheetViews>
    <sheetView zoomScale="59" zoomScaleNormal="60" zoomScaleSheetLayoutView="65" workbookViewId="0">
      <selection activeCell="J7" sqref="J7"/>
    </sheetView>
  </sheetViews>
  <sheetFormatPr defaultRowHeight="14.5" x14ac:dyDescent="0.35"/>
  <cols>
    <col min="1" max="1" width="21.26953125" style="12" bestFit="1" customWidth="1"/>
    <col min="2" max="2" width="22.08984375" bestFit="1" customWidth="1"/>
    <col min="3" max="3" width="23.453125" bestFit="1" customWidth="1"/>
    <col min="4" max="6" width="22.08984375" bestFit="1" customWidth="1"/>
    <col min="7" max="7" width="22.26953125" bestFit="1" customWidth="1"/>
    <col min="8" max="8" width="22.08984375" bestFit="1" customWidth="1"/>
    <col min="9" max="9" width="26.1796875" customWidth="1"/>
    <col min="10" max="10" width="22.26953125" bestFit="1" customWidth="1"/>
    <col min="11" max="12" width="22.08984375" bestFit="1" customWidth="1"/>
    <col min="13" max="13" width="23.1796875" bestFit="1" customWidth="1"/>
  </cols>
  <sheetData>
    <row r="2" spans="1:13" s="1" customFormat="1" x14ac:dyDescent="0.35">
      <c r="A2" s="14" t="s">
        <v>72</v>
      </c>
      <c r="B2" s="14" t="s">
        <v>47</v>
      </c>
      <c r="C2" s="14" t="s">
        <v>48</v>
      </c>
      <c r="D2" s="14" t="s">
        <v>49</v>
      </c>
      <c r="E2" s="14" t="s">
        <v>50</v>
      </c>
      <c r="F2" s="14" t="s">
        <v>51</v>
      </c>
      <c r="G2" s="14" t="s">
        <v>52</v>
      </c>
      <c r="H2" s="14" t="s">
        <v>53</v>
      </c>
      <c r="I2" s="14" t="s">
        <v>54</v>
      </c>
      <c r="J2" s="14" t="s">
        <v>55</v>
      </c>
      <c r="K2" s="14" t="s">
        <v>56</v>
      </c>
      <c r="L2" s="14" t="s">
        <v>57</v>
      </c>
      <c r="M2" s="14" t="s">
        <v>58</v>
      </c>
    </row>
    <row r="3" spans="1:13" s="8" customFormat="1" ht="88.5" customHeight="1" x14ac:dyDescent="0.35">
      <c r="A3" s="15" t="s">
        <v>19</v>
      </c>
      <c r="B3" s="13" t="s">
        <v>59</v>
      </c>
      <c r="C3" s="13" t="s">
        <v>59</v>
      </c>
      <c r="D3" s="13" t="s">
        <v>59</v>
      </c>
      <c r="E3" s="13" t="s">
        <v>59</v>
      </c>
      <c r="F3" s="13" t="s">
        <v>59</v>
      </c>
      <c r="G3" s="13" t="s">
        <v>59</v>
      </c>
      <c r="H3" s="13" t="s">
        <v>59</v>
      </c>
      <c r="I3" s="23" t="s">
        <v>73</v>
      </c>
      <c r="J3" s="13" t="s">
        <v>59</v>
      </c>
      <c r="K3" s="13" t="s">
        <v>59</v>
      </c>
      <c r="L3" s="13" t="s">
        <v>59</v>
      </c>
      <c r="M3" s="13" t="s">
        <v>59</v>
      </c>
    </row>
    <row r="4" spans="1:13" s="8" customFormat="1" ht="88.5" customHeight="1" x14ac:dyDescent="0.35">
      <c r="A4" s="15" t="s">
        <v>21</v>
      </c>
      <c r="B4" s="13" t="s">
        <v>63</v>
      </c>
      <c r="C4" s="13" t="s">
        <v>64</v>
      </c>
      <c r="D4" s="13" t="s">
        <v>65</v>
      </c>
      <c r="E4" s="3" t="s">
        <v>66</v>
      </c>
      <c r="F4" s="13" t="s">
        <v>80</v>
      </c>
      <c r="G4" s="3" t="s">
        <v>66</v>
      </c>
      <c r="H4" s="13" t="s">
        <v>67</v>
      </c>
      <c r="I4" s="13" t="s">
        <v>68</v>
      </c>
      <c r="J4" s="3" t="s">
        <v>66</v>
      </c>
      <c r="K4" s="3" t="s">
        <v>66</v>
      </c>
      <c r="L4" s="3" t="s">
        <v>66</v>
      </c>
      <c r="M4" s="13" t="s">
        <v>69</v>
      </c>
    </row>
    <row r="5" spans="1:13" s="8" customFormat="1" ht="88.5" customHeight="1" x14ac:dyDescent="0.35">
      <c r="A5" s="15" t="s">
        <v>20</v>
      </c>
      <c r="B5" s="3"/>
      <c r="C5" s="3"/>
      <c r="D5" s="3"/>
      <c r="E5" s="13" t="s">
        <v>70</v>
      </c>
      <c r="F5" s="3"/>
      <c r="G5" s="13" t="s">
        <v>60</v>
      </c>
      <c r="H5" s="13" t="s">
        <v>81</v>
      </c>
      <c r="I5" s="3"/>
      <c r="J5" s="3"/>
      <c r="K5" s="13" t="s">
        <v>60</v>
      </c>
      <c r="L5" s="13" t="s">
        <v>81</v>
      </c>
      <c r="M5" s="3"/>
    </row>
    <row r="6" spans="1:13" s="8" customFormat="1" ht="88.5" customHeight="1" x14ac:dyDescent="0.35">
      <c r="A6" s="15" t="s">
        <v>22</v>
      </c>
      <c r="B6" s="3"/>
      <c r="C6" s="3"/>
      <c r="D6" s="3"/>
      <c r="E6" s="3"/>
      <c r="F6" s="3"/>
      <c r="G6" s="13" t="s">
        <v>61</v>
      </c>
      <c r="H6" s="3"/>
      <c r="I6" s="3"/>
      <c r="J6" s="13" t="s">
        <v>61</v>
      </c>
      <c r="K6" s="3"/>
      <c r="L6" s="3"/>
      <c r="M6" s="3"/>
    </row>
    <row r="7" spans="1:13" s="26" customFormat="1" ht="88.5" customHeight="1" x14ac:dyDescent="0.35">
      <c r="A7" s="24" t="s">
        <v>23</v>
      </c>
      <c r="B7" s="9"/>
      <c r="C7" s="25" t="s">
        <v>71</v>
      </c>
      <c r="D7" s="9" t="s">
        <v>62</v>
      </c>
      <c r="E7" s="9"/>
      <c r="F7" s="9"/>
      <c r="G7" s="9"/>
      <c r="H7" s="9"/>
      <c r="I7" s="27" t="s">
        <v>82</v>
      </c>
      <c r="J7" s="9"/>
      <c r="K7" s="9"/>
      <c r="L7" s="9"/>
      <c r="M7" s="9"/>
    </row>
  </sheetData>
  <pageMargins left="0.25" right="0.25" top="0.75" bottom="0.75" header="0.3" footer="0.3"/>
  <pageSetup paperSize="9" fitToWidth="0" orientation="landscape" horizontalDpi="0" verticalDpi="0" r:id="rId1"/>
  <headerFooter>
    <oddHeader>&amp;L&amp;"-,Tebal"&amp;24PROGRAM ACTIVITY WELLBEING PROPOSED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Lembar kerja</vt:lpstr>
      </vt:variant>
      <vt:variant>
        <vt:i4>2</vt:i4>
      </vt:variant>
      <vt:variant>
        <vt:lpstr>Rentang Bernama</vt:lpstr>
      </vt:variant>
      <vt:variant>
        <vt:i4>4</vt:i4>
      </vt:variant>
    </vt:vector>
  </HeadingPairs>
  <TitlesOfParts>
    <vt:vector size="6" baseType="lpstr">
      <vt:lpstr>Wellbeing Point</vt:lpstr>
      <vt:lpstr>Wellbeing Activity Planning</vt:lpstr>
      <vt:lpstr>'Wellbeing Activity Planning'!Print_Area</vt:lpstr>
      <vt:lpstr>'Wellbeing Point'!Print_Area</vt:lpstr>
      <vt:lpstr>'Wellbeing Activity Planning'!Print_Titles</vt:lpstr>
      <vt:lpstr>'Wellbeing Point'!Print_Titles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Meida Indra WG</dc:creator>
  <cp:lastModifiedBy>Meida Indra WG</cp:lastModifiedBy>
  <cp:lastPrinted>2026-04-23T05:06:01Z</cp:lastPrinted>
  <dcterms:created xsi:type="dcterms:W3CDTF">2026-04-15T10:03:25Z</dcterms:created>
  <dcterms:modified xsi:type="dcterms:W3CDTF">2026-04-28T06:48:08Z</dcterms:modified>
</cp:coreProperties>
</file>